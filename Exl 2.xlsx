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ryesh\Documents\"/>
    </mc:Choice>
  </mc:AlternateContent>
  <xr:revisionPtr revIDLastSave="0" documentId="13_ncr:1_{BA6F64B2-3680-4725-BF8F-D59BE0E50F95}" xr6:coauthVersionLast="47" xr6:coauthVersionMax="47" xr10:uidLastSave="{00000000-0000-0000-0000-000000000000}"/>
  <bookViews>
    <workbookView xWindow="-108" yWindow="-108" windowWidth="23256" windowHeight="14616" firstSheet="12" activeTab="14" xr2:uid="{0FEF9912-2173-482C-808E-EC00E77CF59E}"/>
  </bookViews>
  <sheets>
    <sheet name="ADD" sheetId="1" r:id="rId1"/>
    <sheet name="SUB" sheetId="2" r:id="rId2"/>
    <sheet name="MUL" sheetId="3" r:id="rId3"/>
    <sheet name="DIV" sheetId="4" r:id="rId4"/>
    <sheet name="Percentage(%)" sheetId="5" r:id="rId5"/>
    <sheet name="Power(^)" sheetId="6" r:id="rId6"/>
    <sheet name="Mixed Operators" sheetId="7" r:id="rId7"/>
    <sheet name="MIX 2" sheetId="8" r:id="rId8"/>
    <sheet name="MIX 3" sheetId="9" r:id="rId9"/>
    <sheet name="MIX 4" sheetId="10" r:id="rId10"/>
    <sheet name="SUM()" sheetId="12" r:id="rId11"/>
    <sheet name="AVERAGE()" sheetId="13" r:id="rId12"/>
    <sheet name="MIN()" sheetId="14" r:id="rId13"/>
    <sheet name="MAX()" sheetId="15" r:id="rId14"/>
    <sheet name="COUNT()" sheetId="16" r:id="rId15"/>
    <sheet name="COUNTA()" sheetId="17" r:id="rId16"/>
    <sheet name="COUNTBLANK()" sheetId="18" r:id="rId17"/>
    <sheet name="MiniChallenge(IndustryPractice)" sheetId="19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2" i="16" l="1"/>
  <c r="B16" i="19"/>
  <c r="B15" i="19"/>
  <c r="B12" i="19"/>
  <c r="B14" i="19"/>
  <c r="B13" i="19"/>
  <c r="A15" i="18"/>
  <c r="A12" i="17"/>
  <c r="B12" i="15"/>
  <c r="B12" i="14"/>
  <c r="B12" i="13"/>
  <c r="B12" i="12"/>
  <c r="F11" i="10"/>
  <c r="F10" i="10"/>
  <c r="F9" i="10"/>
  <c r="F8" i="10"/>
  <c r="F7" i="10"/>
  <c r="F6" i="10"/>
  <c r="F5" i="10"/>
  <c r="F4" i="10"/>
  <c r="F3" i="10"/>
  <c r="F2" i="10"/>
  <c r="E5" i="10"/>
  <c r="E4" i="10"/>
  <c r="E3" i="10"/>
  <c r="E2" i="10"/>
  <c r="D3" i="10"/>
  <c r="D2" i="10"/>
  <c r="E11" i="10"/>
  <c r="E10" i="10"/>
  <c r="E9" i="10"/>
  <c r="E8" i="10"/>
  <c r="E7" i="10"/>
  <c r="E6" i="10"/>
  <c r="D11" i="10"/>
  <c r="D10" i="10"/>
  <c r="D9" i="10"/>
  <c r="D8" i="10"/>
  <c r="D7" i="10"/>
  <c r="D6" i="10"/>
  <c r="D5" i="10"/>
  <c r="D4" i="10"/>
  <c r="D11" i="9"/>
  <c r="D10" i="9"/>
  <c r="D9" i="9"/>
  <c r="D8" i="9"/>
  <c r="D7" i="9"/>
  <c r="D6" i="9"/>
  <c r="D5" i="9"/>
  <c r="D4" i="9"/>
  <c r="D3" i="9"/>
  <c r="D2" i="9"/>
  <c r="C11" i="9"/>
  <c r="C10" i="9"/>
  <c r="C9" i="9"/>
  <c r="C8" i="9"/>
  <c r="C7" i="9"/>
  <c r="C6" i="9"/>
  <c r="C5" i="9"/>
  <c r="C4" i="9"/>
  <c r="C3" i="9"/>
  <c r="C2" i="9"/>
  <c r="E2" i="8"/>
  <c r="E11" i="8"/>
  <c r="E10" i="8"/>
  <c r="E9" i="8"/>
  <c r="E8" i="8"/>
  <c r="E7" i="8"/>
  <c r="E6" i="8"/>
  <c r="E5" i="8"/>
  <c r="E4" i="8"/>
  <c r="E3" i="8"/>
  <c r="E11" i="7"/>
  <c r="E10" i="7"/>
  <c r="E9" i="7"/>
  <c r="E8" i="7"/>
  <c r="E7" i="7"/>
  <c r="E6" i="7"/>
  <c r="E5" i="7"/>
  <c r="E4" i="7"/>
  <c r="E3" i="7"/>
  <c r="E2" i="7"/>
  <c r="B11" i="6"/>
  <c r="B10" i="6"/>
  <c r="B9" i="6"/>
  <c r="B8" i="6"/>
  <c r="B7" i="6"/>
  <c r="B6" i="6"/>
  <c r="B5" i="6"/>
  <c r="B4" i="6"/>
  <c r="B3" i="6"/>
  <c r="B2" i="6"/>
  <c r="C2" i="5"/>
  <c r="C11" i="5"/>
  <c r="C10" i="5"/>
  <c r="C9" i="5"/>
  <c r="C8" i="5"/>
  <c r="C7" i="5"/>
  <c r="C6" i="5"/>
  <c r="C5" i="5"/>
  <c r="C4" i="5"/>
  <c r="C3" i="5"/>
  <c r="D11" i="4"/>
  <c r="D10" i="4"/>
  <c r="D9" i="4"/>
  <c r="D8" i="4"/>
  <c r="D6" i="4"/>
  <c r="D7" i="4"/>
  <c r="D5" i="4"/>
  <c r="D4" i="4"/>
  <c r="D3" i="4"/>
  <c r="D2" i="4"/>
  <c r="D11" i="3"/>
  <c r="D10" i="3"/>
  <c r="D9" i="3"/>
  <c r="D8" i="3"/>
  <c r="D7" i="3"/>
  <c r="D6" i="3"/>
  <c r="D5" i="3"/>
  <c r="D4" i="3"/>
  <c r="D3" i="3"/>
  <c r="D2" i="3"/>
  <c r="D2" i="2"/>
  <c r="D11" i="2"/>
  <c r="D10" i="2"/>
  <c r="D9" i="2"/>
  <c r="D8" i="2"/>
  <c r="D7" i="2"/>
  <c r="D6" i="2"/>
  <c r="D4" i="2"/>
  <c r="D5" i="2"/>
  <c r="D3" i="2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<sst xmlns="http://schemas.openxmlformats.org/spreadsheetml/2006/main" count="226" uniqueCount="83">
  <si>
    <t xml:space="preserve">Product </t>
  </si>
  <si>
    <t>Price 1</t>
  </si>
  <si>
    <t>Price 2</t>
  </si>
  <si>
    <t>Total</t>
  </si>
  <si>
    <t>Laptop</t>
  </si>
  <si>
    <t>Mouse</t>
  </si>
  <si>
    <t>Keyboard</t>
  </si>
  <si>
    <t>Monitor</t>
  </si>
  <si>
    <t>Printer</t>
  </si>
  <si>
    <t>Webcam</t>
  </si>
  <si>
    <t>SSD</t>
  </si>
  <si>
    <t>RAM</t>
  </si>
  <si>
    <t>Chair</t>
  </si>
  <si>
    <t>Desk</t>
  </si>
  <si>
    <t>Product</t>
  </si>
  <si>
    <t>Total Stock</t>
  </si>
  <si>
    <t>Sold</t>
  </si>
  <si>
    <t>Remaining</t>
  </si>
  <si>
    <t>Price</t>
  </si>
  <si>
    <t>Quantity</t>
  </si>
  <si>
    <t>Total Sales</t>
  </si>
  <si>
    <t>Student</t>
  </si>
  <si>
    <t>Amit</t>
  </si>
  <si>
    <t>Priya</t>
  </si>
  <si>
    <t>Rahul</t>
  </si>
  <si>
    <t>Sneha</t>
  </si>
  <si>
    <t>Rohan</t>
  </si>
  <si>
    <t>Neha</t>
  </si>
  <si>
    <t>karan</t>
  </si>
  <si>
    <t>Pooja</t>
  </si>
  <si>
    <t>Vivek</t>
  </si>
  <si>
    <t>Anjali</t>
  </si>
  <si>
    <t>Total Marks</t>
  </si>
  <si>
    <t>Subjects</t>
  </si>
  <si>
    <t>Average</t>
  </si>
  <si>
    <t>GST (18%)</t>
  </si>
  <si>
    <t>Number</t>
  </si>
  <si>
    <t>Square</t>
  </si>
  <si>
    <t>Shipping</t>
  </si>
  <si>
    <t>Final Bill</t>
  </si>
  <si>
    <t>Employee</t>
  </si>
  <si>
    <t>Karan</t>
  </si>
  <si>
    <t>Basic Salary</t>
  </si>
  <si>
    <t>HRA</t>
  </si>
  <si>
    <t>Bonus</t>
  </si>
  <si>
    <t>Gross Salary</t>
  </si>
  <si>
    <t>Discount (10%)</t>
  </si>
  <si>
    <t>Final Price</t>
  </si>
  <si>
    <t>Shop</t>
  </si>
  <si>
    <t>Shop A</t>
  </si>
  <si>
    <t>Shop B</t>
  </si>
  <si>
    <t>Shop C</t>
  </si>
  <si>
    <t>Shop D</t>
  </si>
  <si>
    <t>Shop E</t>
  </si>
  <si>
    <t>Shop F</t>
  </si>
  <si>
    <t>Shop G</t>
  </si>
  <si>
    <t>Shop H</t>
  </si>
  <si>
    <t>Shop I</t>
  </si>
  <si>
    <t>Shop j</t>
  </si>
  <si>
    <t>Income</t>
  </si>
  <si>
    <t>Expense</t>
  </si>
  <si>
    <t>Profit</t>
  </si>
  <si>
    <t>Tax (5%)</t>
  </si>
  <si>
    <t>Final Profit</t>
  </si>
  <si>
    <t>Total Salary</t>
  </si>
  <si>
    <t>Salary()</t>
  </si>
  <si>
    <t>Marks</t>
  </si>
  <si>
    <t>Salesperson</t>
  </si>
  <si>
    <t>Lowest Sales</t>
  </si>
  <si>
    <t>Sales</t>
  </si>
  <si>
    <t>Highest Sales</t>
  </si>
  <si>
    <t>Data</t>
  </si>
  <si>
    <t>Excel</t>
  </si>
  <si>
    <t>Power BI</t>
  </si>
  <si>
    <t>SQL</t>
  </si>
  <si>
    <t>(Blank)</t>
  </si>
  <si>
    <t xml:space="preserve"> </t>
  </si>
  <si>
    <t>Salary</t>
  </si>
  <si>
    <t>TOTAL SALARY</t>
  </si>
  <si>
    <t>AVERAGE SALARY</t>
  </si>
  <si>
    <t>HIGHEST SALARY</t>
  </si>
  <si>
    <t>LOWEST SALARY</t>
  </si>
  <si>
    <t>NUMBER OF SALARIES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</si>
</sst>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7B686-4BC6-46B5-AC2B-83DDBE8E36B5}">
  <dimension ref="A1:D11"/>
  <sheetViews>
    <sheetView zoomScale="148" workbookViewId="0">
      <selection activeCell="G11" sqref="G11"/>
    </sheetView>
  </sheetViews>
  <sheetFormatPr defaultRowHeight="14.4" x14ac:dyDescent="0.3"/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>
        <v>45000</v>
      </c>
      <c r="C2" s="1">
        <v>3500</v>
      </c>
      <c r="D2" s="1">
        <f t="shared" ref="D2:D11" si="0">B2+C2</f>
        <v>48500</v>
      </c>
    </row>
    <row r="3" spans="1:4" x14ac:dyDescent="0.3">
      <c r="A3" s="1" t="s">
        <v>5</v>
      </c>
      <c r="B3" s="1">
        <v>800</v>
      </c>
      <c r="C3" s="1">
        <v>150</v>
      </c>
      <c r="D3" s="1">
        <f t="shared" si="0"/>
        <v>950</v>
      </c>
    </row>
    <row r="4" spans="1:4" x14ac:dyDescent="0.3">
      <c r="A4" s="1" t="s">
        <v>6</v>
      </c>
      <c r="B4" s="1">
        <v>1200</v>
      </c>
      <c r="C4" s="1">
        <v>250</v>
      </c>
      <c r="D4" s="1">
        <f t="shared" si="0"/>
        <v>1450</v>
      </c>
    </row>
    <row r="5" spans="1:4" x14ac:dyDescent="0.3">
      <c r="A5" s="1" t="s">
        <v>7</v>
      </c>
      <c r="B5" s="1">
        <v>15000</v>
      </c>
      <c r="C5" s="1">
        <v>1200</v>
      </c>
      <c r="D5" s="1">
        <f t="shared" si="0"/>
        <v>16200</v>
      </c>
    </row>
    <row r="6" spans="1:4" x14ac:dyDescent="0.3">
      <c r="A6" s="1" t="s">
        <v>8</v>
      </c>
      <c r="B6" s="1">
        <v>9000</v>
      </c>
      <c r="C6" s="1">
        <v>800</v>
      </c>
      <c r="D6" s="1">
        <f t="shared" si="0"/>
        <v>9800</v>
      </c>
    </row>
    <row r="7" spans="1:4" x14ac:dyDescent="0.3">
      <c r="A7" s="1" t="s">
        <v>9</v>
      </c>
      <c r="B7" s="1">
        <v>2500</v>
      </c>
      <c r="C7" s="1">
        <v>500</v>
      </c>
      <c r="D7" s="1">
        <f t="shared" si="0"/>
        <v>3000</v>
      </c>
    </row>
    <row r="8" spans="1:4" x14ac:dyDescent="0.3">
      <c r="A8" s="1" t="s">
        <v>10</v>
      </c>
      <c r="B8" s="1">
        <v>4200</v>
      </c>
      <c r="C8" s="1">
        <v>300</v>
      </c>
      <c r="D8" s="1">
        <f t="shared" si="0"/>
        <v>4500</v>
      </c>
    </row>
    <row r="9" spans="1:4" x14ac:dyDescent="0.3">
      <c r="A9" s="1" t="s">
        <v>11</v>
      </c>
      <c r="B9" s="1">
        <v>3800</v>
      </c>
      <c r="C9" s="1">
        <v>450</v>
      </c>
      <c r="D9" s="1">
        <f t="shared" si="0"/>
        <v>4250</v>
      </c>
    </row>
    <row r="10" spans="1:4" x14ac:dyDescent="0.3">
      <c r="A10" s="1" t="s">
        <v>12</v>
      </c>
      <c r="B10" s="1">
        <v>6500</v>
      </c>
      <c r="C10" s="1">
        <v>750</v>
      </c>
      <c r="D10" s="1">
        <f t="shared" si="0"/>
        <v>7250</v>
      </c>
    </row>
    <row r="11" spans="1:4" x14ac:dyDescent="0.3">
      <c r="A11" s="1" t="s">
        <v>13</v>
      </c>
      <c r="B11" s="1">
        <v>8200</v>
      </c>
      <c r="C11" s="1">
        <v>900</v>
      </c>
      <c r="D11" s="1">
        <f t="shared" si="0"/>
        <v>9100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8E0ED-9E3A-4314-9273-152FB7BDF3D0}">
  <dimension ref="A1:D11"/>
  <sheetViews>
    <sheetView zoomScale="150" workbookViewId="0">
      <selection activeCell="E18" sqref="E18"/>
    </sheetView>
  </sheetViews>
  <sheetFormatPr defaultRowHeight="14.4" x14ac:dyDescent="0.3"/>
  <cols>
    <col min="1" max="1" width="8.5546875" bestFit="1" customWidth="1"/>
    <col min="2" max="2" width="10.33203125" bestFit="1" customWidth="1"/>
    <col min="3" max="3" width="4.77734375" bestFit="1" customWidth="1"/>
    <col min="4" max="4" width="9.88671875" bestFit="1" customWidth="1"/>
  </cols>
  <sheetData>
    <row r="1" spans="1:4" x14ac:dyDescent="0.3">
      <c r="A1" s="2" t="s">
        <v>14</v>
      </c>
      <c r="B1" s="2" t="s">
        <v>15</v>
      </c>
      <c r="C1" s="2" t="s">
        <v>16</v>
      </c>
      <c r="D1" s="2" t="s">
        <v>17</v>
      </c>
    </row>
    <row r="2" spans="1:4" x14ac:dyDescent="0.3">
      <c r="A2" s="1" t="s">
        <v>4</v>
      </c>
      <c r="B2" s="1">
        <v>120</v>
      </c>
      <c r="C2" s="1">
        <v>45</v>
      </c>
      <c r="D2" s="1">
        <f>B2-C2</f>
        <v>75</v>
      </c>
    </row>
    <row r="3" spans="1:4" x14ac:dyDescent="0.3">
      <c r="A3" s="1" t="s">
        <v>5</v>
      </c>
      <c r="B3" s="1">
        <v>500</v>
      </c>
      <c r="C3" s="1">
        <v>230</v>
      </c>
      <c r="D3" s="1">
        <f t="shared" ref="D3:D11" si="0">B3-C3</f>
        <v>270</v>
      </c>
    </row>
    <row r="4" spans="1:4" x14ac:dyDescent="0.3">
      <c r="A4" s="1" t="s">
        <v>6</v>
      </c>
      <c r="B4" s="1">
        <v>350</v>
      </c>
      <c r="C4" s="1">
        <v>140</v>
      </c>
      <c r="D4" s="1">
        <f t="shared" si="0"/>
        <v>210</v>
      </c>
    </row>
    <row r="5" spans="1:4" x14ac:dyDescent="0.3">
      <c r="A5" s="1" t="s">
        <v>7</v>
      </c>
      <c r="B5" s="1">
        <v>200</v>
      </c>
      <c r="C5" s="1">
        <v>95</v>
      </c>
      <c r="D5" s="1">
        <f t="shared" si="0"/>
        <v>105</v>
      </c>
    </row>
    <row r="6" spans="1:4" x14ac:dyDescent="0.3">
      <c r="A6" s="1" t="s">
        <v>8</v>
      </c>
      <c r="B6" s="1">
        <v>150</v>
      </c>
      <c r="C6" s="1">
        <v>40</v>
      </c>
      <c r="D6" s="1">
        <f t="shared" si="0"/>
        <v>110</v>
      </c>
    </row>
    <row r="7" spans="1:4" x14ac:dyDescent="0.3">
      <c r="A7" s="1" t="s">
        <v>9</v>
      </c>
      <c r="B7" s="1">
        <v>300</v>
      </c>
      <c r="C7" s="1">
        <v>175</v>
      </c>
      <c r="D7" s="1">
        <f t="shared" si="0"/>
        <v>125</v>
      </c>
    </row>
    <row r="8" spans="1:4" x14ac:dyDescent="0.3">
      <c r="A8" s="1" t="s">
        <v>10</v>
      </c>
      <c r="B8" s="1">
        <v>450</v>
      </c>
      <c r="C8" s="1">
        <v>210</v>
      </c>
      <c r="D8" s="1">
        <f t="shared" si="0"/>
        <v>240</v>
      </c>
    </row>
    <row r="9" spans="1:4" x14ac:dyDescent="0.3">
      <c r="A9" s="1" t="s">
        <v>11</v>
      </c>
      <c r="B9" s="1">
        <v>380</v>
      </c>
      <c r="C9" s="1">
        <v>160</v>
      </c>
      <c r="D9" s="1">
        <f t="shared" si="0"/>
        <v>220</v>
      </c>
    </row>
    <row r="10" spans="1:4" x14ac:dyDescent="0.3">
      <c r="A10" s="1" t="s">
        <v>12</v>
      </c>
      <c r="B10" s="1">
        <v>250</v>
      </c>
      <c r="C10" s="1">
        <v>75</v>
      </c>
      <c r="D10" s="1">
        <f t="shared" si="0"/>
        <v>175</v>
      </c>
    </row>
    <row r="11" spans="1:4" x14ac:dyDescent="0.3">
      <c r="A11" s="1" t="s">
        <v>13</v>
      </c>
      <c r="B11" s="1">
        <v>180</v>
      </c>
      <c r="C11" s="1">
        <v>65</v>
      </c>
      <c r="D11" s="1">
        <f t="shared" si="0"/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01ABE-3105-4FD8-9019-5219F95DD725}">
  <dimension ref="A1:D11"/>
  <sheetViews>
    <sheetView zoomScale="157" workbookViewId="0">
      <selection activeCell="M14" sqref="M14"/>
    </sheetView>
  </sheetViews>
  <sheetFormatPr defaultRowHeight="14.4" x14ac:dyDescent="0.3"/>
  <cols>
    <col min="1" max="1" width="8.44140625" bestFit="1" customWidth="1"/>
    <col min="2" max="2" width="6" bestFit="1" customWidth="1"/>
    <col min="3" max="3" width="8.109375" bestFit="1" customWidth="1"/>
    <col min="4" max="4" width="10" bestFit="1" customWidth="1"/>
  </cols>
  <sheetData>
    <row r="1" spans="1:4" x14ac:dyDescent="0.3">
      <c r="A1" s="2" t="s">
        <v>14</v>
      </c>
      <c r="B1" s="2" t="s">
        <v>18</v>
      </c>
      <c r="C1" s="2" t="s">
        <v>19</v>
      </c>
      <c r="D1" s="2" t="s">
        <v>20</v>
      </c>
    </row>
    <row r="2" spans="1:4" x14ac:dyDescent="0.3">
      <c r="A2" s="1" t="s">
        <v>4</v>
      </c>
      <c r="B2" s="1">
        <v>55000</v>
      </c>
      <c r="C2" s="1">
        <v>3</v>
      </c>
      <c r="D2" s="1">
        <f t="shared" ref="D2:D11" si="0">B2*C2</f>
        <v>165000</v>
      </c>
    </row>
    <row r="3" spans="1:4" x14ac:dyDescent="0.3">
      <c r="A3" s="1" t="s">
        <v>5</v>
      </c>
      <c r="B3" s="1">
        <v>750</v>
      </c>
      <c r="C3" s="1">
        <v>15</v>
      </c>
      <c r="D3" s="1">
        <f t="shared" si="0"/>
        <v>11250</v>
      </c>
    </row>
    <row r="4" spans="1:4" x14ac:dyDescent="0.3">
      <c r="A4" s="1" t="s">
        <v>6</v>
      </c>
      <c r="B4" s="1">
        <v>1500</v>
      </c>
      <c r="C4" s="1">
        <v>12</v>
      </c>
      <c r="D4" s="1">
        <f t="shared" si="0"/>
        <v>18000</v>
      </c>
    </row>
    <row r="5" spans="1:4" x14ac:dyDescent="0.3">
      <c r="A5" s="1" t="s">
        <v>7</v>
      </c>
      <c r="B5" s="1">
        <v>18000</v>
      </c>
      <c r="C5" s="1">
        <v>5</v>
      </c>
      <c r="D5" s="1">
        <f t="shared" si="0"/>
        <v>90000</v>
      </c>
    </row>
    <row r="6" spans="1:4" x14ac:dyDescent="0.3">
      <c r="A6" s="1" t="s">
        <v>8</v>
      </c>
      <c r="B6" s="1">
        <v>12000</v>
      </c>
      <c r="C6" s="1">
        <v>4</v>
      </c>
      <c r="D6" s="1">
        <f t="shared" si="0"/>
        <v>48000</v>
      </c>
    </row>
    <row r="7" spans="1:4" x14ac:dyDescent="0.3">
      <c r="A7" s="1" t="s">
        <v>9</v>
      </c>
      <c r="B7" s="1">
        <v>3000</v>
      </c>
      <c r="C7" s="1">
        <v>8</v>
      </c>
      <c r="D7" s="1">
        <f t="shared" si="0"/>
        <v>24000</v>
      </c>
    </row>
    <row r="8" spans="1:4" x14ac:dyDescent="0.3">
      <c r="A8" s="1" t="s">
        <v>10</v>
      </c>
      <c r="B8" s="1">
        <v>4500</v>
      </c>
      <c r="C8" s="1">
        <v>10</v>
      </c>
      <c r="D8" s="1">
        <f t="shared" si="0"/>
        <v>45000</v>
      </c>
    </row>
    <row r="9" spans="1:4" x14ac:dyDescent="0.3">
      <c r="A9" s="1" t="s">
        <v>11</v>
      </c>
      <c r="B9" s="1">
        <v>5200</v>
      </c>
      <c r="C9" s="1">
        <v>7</v>
      </c>
      <c r="D9" s="1">
        <f t="shared" si="0"/>
        <v>36400</v>
      </c>
    </row>
    <row r="10" spans="1:4" x14ac:dyDescent="0.3">
      <c r="A10" s="1" t="s">
        <v>12</v>
      </c>
      <c r="B10" s="1">
        <v>7000</v>
      </c>
      <c r="C10" s="1">
        <v>6</v>
      </c>
      <c r="D10" s="1">
        <f t="shared" si="0"/>
        <v>42000</v>
      </c>
    </row>
    <row r="11" spans="1:4" x14ac:dyDescent="0.3">
      <c r="A11" s="1" t="s">
        <v>13</v>
      </c>
      <c r="B11" s="1">
        <v>9500</v>
      </c>
      <c r="C11" s="1">
        <v>4</v>
      </c>
      <c r="D11" s="1">
        <f t="shared" si="0"/>
        <v>38000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2337D-0426-4980-B627-A7E586F6DFAA}">
  <dimension ref="A1:D11"/>
  <sheetViews>
    <sheetView workbookViewId="0">
      <selection activeCell="F9" sqref="F9"/>
    </sheetView>
  </sheetViews>
  <sheetFormatPr defaultRowHeight="14.4" x14ac:dyDescent="0.3"/>
  <cols>
    <col min="1" max="1" width="7.5546875" bestFit="1" customWidth="1"/>
    <col min="2" max="2" width="10.44140625" bestFit="1" customWidth="1"/>
    <col min="3" max="3" width="8.33203125" bestFit="1" customWidth="1"/>
    <col min="4" max="4" width="7.5546875" bestFit="1" customWidth="1"/>
  </cols>
  <sheetData>
    <row r="1" spans="1:4" x14ac:dyDescent="0.3">
      <c r="A1" s="2" t="s">
        <v>21</v>
      </c>
      <c r="B1" s="2" t="s">
        <v>32</v>
      </c>
      <c r="C1" s="2" t="s">
        <v>33</v>
      </c>
      <c r="D1" s="2" t="s">
        <v>34</v>
      </c>
    </row>
    <row r="2" spans="1:4" x14ac:dyDescent="0.3">
      <c r="A2" s="1" t="s">
        <v>22</v>
      </c>
      <c r="B2" s="1">
        <v>450</v>
      </c>
      <c r="C2" s="1">
        <v>5</v>
      </c>
      <c r="D2" s="1">
        <f t="shared" ref="D2:D11" si="0">B2/C2</f>
        <v>90</v>
      </c>
    </row>
    <row r="3" spans="1:4" x14ac:dyDescent="0.3">
      <c r="A3" s="1" t="s">
        <v>23</v>
      </c>
      <c r="B3" s="1">
        <v>390</v>
      </c>
      <c r="C3" s="1">
        <v>5</v>
      </c>
      <c r="D3" s="1">
        <f t="shared" si="0"/>
        <v>78</v>
      </c>
    </row>
    <row r="4" spans="1:4" x14ac:dyDescent="0.3">
      <c r="A4" s="1" t="s">
        <v>24</v>
      </c>
      <c r="B4" s="1">
        <v>475</v>
      </c>
      <c r="C4" s="1">
        <v>5</v>
      </c>
      <c r="D4" s="1">
        <f t="shared" si="0"/>
        <v>95</v>
      </c>
    </row>
    <row r="5" spans="1:4" x14ac:dyDescent="0.3">
      <c r="A5" s="1" t="s">
        <v>25</v>
      </c>
      <c r="B5" s="1">
        <v>420</v>
      </c>
      <c r="C5" s="1">
        <v>5</v>
      </c>
      <c r="D5" s="1">
        <f t="shared" si="0"/>
        <v>84</v>
      </c>
    </row>
    <row r="6" spans="1:4" x14ac:dyDescent="0.3">
      <c r="A6" s="1" t="s">
        <v>26</v>
      </c>
      <c r="B6" s="1">
        <v>460</v>
      </c>
      <c r="C6" s="1">
        <v>5</v>
      </c>
      <c r="D6" s="1">
        <f t="shared" si="0"/>
        <v>92</v>
      </c>
    </row>
    <row r="7" spans="1:4" x14ac:dyDescent="0.3">
      <c r="A7" s="1" t="s">
        <v>27</v>
      </c>
      <c r="B7" s="1">
        <v>440</v>
      </c>
      <c r="C7" s="1">
        <v>5</v>
      </c>
      <c r="D7" s="1">
        <f t="shared" si="0"/>
        <v>88</v>
      </c>
    </row>
    <row r="8" spans="1:4" x14ac:dyDescent="0.3">
      <c r="A8" s="1" t="s">
        <v>28</v>
      </c>
      <c r="B8" s="1">
        <v>410</v>
      </c>
      <c r="C8" s="1">
        <v>5</v>
      </c>
      <c r="D8" s="1">
        <f t="shared" si="0"/>
        <v>82</v>
      </c>
    </row>
    <row r="9" spans="1:4" x14ac:dyDescent="0.3">
      <c r="A9" s="1" t="s">
        <v>29</v>
      </c>
      <c r="B9" s="1">
        <v>395</v>
      </c>
      <c r="C9" s="1">
        <v>5</v>
      </c>
      <c r="D9" s="1">
        <f t="shared" si="0"/>
        <v>79</v>
      </c>
    </row>
    <row r="10" spans="1:4" x14ac:dyDescent="0.3">
      <c r="A10" s="1" t="s">
        <v>30</v>
      </c>
      <c r="B10" s="1">
        <v>455</v>
      </c>
      <c r="C10" s="1">
        <v>5</v>
      </c>
      <c r="D10" s="1">
        <f t="shared" si="0"/>
        <v>91</v>
      </c>
    </row>
    <row r="11" spans="1:4" x14ac:dyDescent="0.3">
      <c r="A11" s="1" t="s">
        <v>31</v>
      </c>
      <c r="B11" s="1">
        <v>470</v>
      </c>
      <c r="C11" s="1">
        <v>5</v>
      </c>
      <c r="D11" s="1">
        <f t="shared" si="0"/>
        <v>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34EAD-60B0-4745-A146-ADBED3E2F8F0}">
  <dimension ref="A1:C11"/>
  <sheetViews>
    <sheetView zoomScale="111" workbookViewId="0">
      <selection activeCell="E11" sqref="E11"/>
    </sheetView>
  </sheetViews>
  <sheetFormatPr defaultRowHeight="14.4" x14ac:dyDescent="0.3"/>
  <cols>
    <col min="1" max="1" width="8.44140625" bestFit="1" customWidth="1"/>
    <col min="2" max="2" width="6" bestFit="1" customWidth="1"/>
    <col min="3" max="3" width="9.21875" bestFit="1" customWidth="1"/>
  </cols>
  <sheetData>
    <row r="1" spans="1:3" x14ac:dyDescent="0.3">
      <c r="A1" s="2" t="s">
        <v>14</v>
      </c>
      <c r="B1" s="2" t="s">
        <v>18</v>
      </c>
      <c r="C1" s="2" t="s">
        <v>35</v>
      </c>
    </row>
    <row r="2" spans="1:3" x14ac:dyDescent="0.3">
      <c r="A2" s="1" t="s">
        <v>4</v>
      </c>
      <c r="B2" s="1">
        <v>50000</v>
      </c>
      <c r="C2" s="1">
        <f t="shared" ref="C2:C11" si="0">B2*18%</f>
        <v>9000</v>
      </c>
    </row>
    <row r="3" spans="1:3" x14ac:dyDescent="0.3">
      <c r="A3" s="1" t="s">
        <v>5</v>
      </c>
      <c r="B3" s="1">
        <v>800</v>
      </c>
      <c r="C3" s="1">
        <f t="shared" si="0"/>
        <v>144</v>
      </c>
    </row>
    <row r="4" spans="1:3" x14ac:dyDescent="0.3">
      <c r="A4" s="1" t="s">
        <v>6</v>
      </c>
      <c r="B4" s="1">
        <v>1200</v>
      </c>
      <c r="C4" s="1">
        <f t="shared" si="0"/>
        <v>216</v>
      </c>
    </row>
    <row r="5" spans="1:3" x14ac:dyDescent="0.3">
      <c r="A5" s="1" t="s">
        <v>7</v>
      </c>
      <c r="B5" s="1">
        <v>15000</v>
      </c>
      <c r="C5" s="1">
        <f t="shared" si="0"/>
        <v>2700</v>
      </c>
    </row>
    <row r="6" spans="1:3" x14ac:dyDescent="0.3">
      <c r="A6" s="1" t="s">
        <v>8</v>
      </c>
      <c r="B6" s="1">
        <v>9500</v>
      </c>
      <c r="C6" s="1">
        <f t="shared" si="0"/>
        <v>1710</v>
      </c>
    </row>
    <row r="7" spans="1:3" x14ac:dyDescent="0.3">
      <c r="A7" s="1" t="s">
        <v>9</v>
      </c>
      <c r="B7" s="1">
        <v>2800</v>
      </c>
      <c r="C7" s="1">
        <f t="shared" si="0"/>
        <v>504</v>
      </c>
    </row>
    <row r="8" spans="1:3" x14ac:dyDescent="0.3">
      <c r="A8" s="1" t="s">
        <v>10</v>
      </c>
      <c r="B8" s="1">
        <v>4200</v>
      </c>
      <c r="C8" s="1">
        <f t="shared" si="0"/>
        <v>756</v>
      </c>
    </row>
    <row r="9" spans="1:3" x14ac:dyDescent="0.3">
      <c r="A9" s="1" t="s">
        <v>11</v>
      </c>
      <c r="B9" s="1">
        <v>5000</v>
      </c>
      <c r="C9" s="1">
        <f t="shared" si="0"/>
        <v>900</v>
      </c>
    </row>
    <row r="10" spans="1:3" x14ac:dyDescent="0.3">
      <c r="A10" s="1" t="s">
        <v>12</v>
      </c>
      <c r="B10" s="1">
        <v>7000</v>
      </c>
      <c r="C10" s="1">
        <f t="shared" si="0"/>
        <v>1260</v>
      </c>
    </row>
    <row r="11" spans="1:3" x14ac:dyDescent="0.3">
      <c r="A11" s="1" t="s">
        <v>13</v>
      </c>
      <c r="B11" s="1">
        <v>8500</v>
      </c>
      <c r="C11" s="1">
        <f t="shared" si="0"/>
        <v>1530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11834-ED26-4D9D-B23D-DD2E20C82FD6}">
  <dimension ref="A1:B11"/>
  <sheetViews>
    <sheetView workbookViewId="0">
      <selection activeCell="E8" sqref="E8"/>
    </sheetView>
  </sheetViews>
  <sheetFormatPr defaultRowHeight="14.4" x14ac:dyDescent="0.3"/>
  <cols>
    <col min="1" max="1" width="7.77734375" bestFit="1" customWidth="1"/>
    <col min="2" max="2" width="6.88671875" bestFit="1" customWidth="1"/>
  </cols>
  <sheetData>
    <row r="1" spans="1:2" x14ac:dyDescent="0.3">
      <c r="A1" s="2" t="s">
        <v>36</v>
      </c>
      <c r="B1" s="2" t="s">
        <v>37</v>
      </c>
    </row>
    <row r="2" spans="1:2" x14ac:dyDescent="0.3">
      <c r="A2" s="1">
        <v>5</v>
      </c>
      <c r="B2" s="1">
        <f t="shared" ref="B2:B11" si="0">A2^2</f>
        <v>25</v>
      </c>
    </row>
    <row r="3" spans="1:2" x14ac:dyDescent="0.3">
      <c r="A3" s="1">
        <v>8</v>
      </c>
      <c r="B3" s="1">
        <f t="shared" si="0"/>
        <v>64</v>
      </c>
    </row>
    <row r="4" spans="1:2" x14ac:dyDescent="0.3">
      <c r="A4" s="1">
        <v>12</v>
      </c>
      <c r="B4" s="1">
        <f t="shared" si="0"/>
        <v>144</v>
      </c>
    </row>
    <row r="5" spans="1:2" x14ac:dyDescent="0.3">
      <c r="A5" s="1">
        <v>15</v>
      </c>
      <c r="B5" s="1">
        <f t="shared" si="0"/>
        <v>225</v>
      </c>
    </row>
    <row r="6" spans="1:2" x14ac:dyDescent="0.3">
      <c r="A6" s="1">
        <v>20</v>
      </c>
      <c r="B6" s="1">
        <f t="shared" si="0"/>
        <v>400</v>
      </c>
    </row>
    <row r="7" spans="1:2" x14ac:dyDescent="0.3">
      <c r="A7" s="1">
        <v>25</v>
      </c>
      <c r="B7" s="1">
        <f t="shared" si="0"/>
        <v>625</v>
      </c>
    </row>
    <row r="8" spans="1:2" x14ac:dyDescent="0.3">
      <c r="A8" s="1">
        <v>30</v>
      </c>
      <c r="B8" s="1">
        <f t="shared" si="0"/>
        <v>900</v>
      </c>
    </row>
    <row r="9" spans="1:2" x14ac:dyDescent="0.3">
      <c r="A9" s="1">
        <v>35</v>
      </c>
      <c r="B9" s="1">
        <f t="shared" si="0"/>
        <v>1225</v>
      </c>
    </row>
    <row r="10" spans="1:2" x14ac:dyDescent="0.3">
      <c r="A10" s="1">
        <v>40</v>
      </c>
      <c r="B10" s="1">
        <f t="shared" si="0"/>
        <v>1600</v>
      </c>
    </row>
    <row r="11" spans="1:2" x14ac:dyDescent="0.3">
      <c r="A11" s="1">
        <v>50</v>
      </c>
      <c r="B11" s="1">
        <f t="shared" si="0"/>
        <v>2500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63F2B-DC79-4B02-8302-E68BC9EF597C}">
  <dimension ref="A1:E11"/>
  <sheetViews>
    <sheetView zoomScale="132" workbookViewId="0">
      <selection activeCell="D20" sqref="D20"/>
    </sheetView>
  </sheetViews>
  <sheetFormatPr defaultRowHeight="14.4" x14ac:dyDescent="0.3"/>
  <cols>
    <col min="1" max="1" width="8.44140625" bestFit="1" customWidth="1"/>
    <col min="2" max="2" width="6" bestFit="1" customWidth="1"/>
    <col min="3" max="3" width="8.109375" bestFit="1" customWidth="1"/>
    <col min="4" max="4" width="8.33203125" bestFit="1" customWidth="1"/>
    <col min="5" max="5" width="8.21875" bestFit="1" customWidth="1"/>
  </cols>
  <sheetData>
    <row r="1" spans="1:5" x14ac:dyDescent="0.3">
      <c r="A1" s="2" t="s">
        <v>14</v>
      </c>
      <c r="B1" s="2" t="s">
        <v>18</v>
      </c>
      <c r="C1" s="2" t="s">
        <v>19</v>
      </c>
      <c r="D1" s="2" t="s">
        <v>38</v>
      </c>
      <c r="E1" s="2" t="s">
        <v>39</v>
      </c>
    </row>
    <row r="2" spans="1:5" x14ac:dyDescent="0.3">
      <c r="A2" s="1" t="s">
        <v>4</v>
      </c>
      <c r="B2" s="1">
        <v>55000</v>
      </c>
      <c r="C2" s="1">
        <v>2</v>
      </c>
      <c r="D2" s="1">
        <v>500</v>
      </c>
      <c r="E2" s="1">
        <f t="shared" ref="E2:E11" si="0">(B2*C2)+D2</f>
        <v>110500</v>
      </c>
    </row>
    <row r="3" spans="1:5" x14ac:dyDescent="0.3">
      <c r="A3" s="1" t="s">
        <v>5</v>
      </c>
      <c r="B3" s="1">
        <v>750</v>
      </c>
      <c r="C3" s="1">
        <v>12</v>
      </c>
      <c r="D3" s="1">
        <v>150</v>
      </c>
      <c r="E3" s="1">
        <f t="shared" si="0"/>
        <v>9150</v>
      </c>
    </row>
    <row r="4" spans="1:5" x14ac:dyDescent="0.3">
      <c r="A4" s="1" t="s">
        <v>6</v>
      </c>
      <c r="B4" s="1">
        <v>1500</v>
      </c>
      <c r="C4" s="1">
        <v>8</v>
      </c>
      <c r="D4" s="1">
        <v>200</v>
      </c>
      <c r="E4" s="1">
        <f t="shared" si="0"/>
        <v>12200</v>
      </c>
    </row>
    <row r="5" spans="1:5" x14ac:dyDescent="0.3">
      <c r="A5" s="1" t="s">
        <v>7</v>
      </c>
      <c r="B5" s="1">
        <v>18000</v>
      </c>
      <c r="C5" s="1">
        <v>3</v>
      </c>
      <c r="D5" s="1">
        <v>350</v>
      </c>
      <c r="E5" s="1">
        <f t="shared" si="0"/>
        <v>54350</v>
      </c>
    </row>
    <row r="6" spans="1:5" x14ac:dyDescent="0.3">
      <c r="A6" s="1" t="s">
        <v>8</v>
      </c>
      <c r="B6" s="1">
        <v>12000</v>
      </c>
      <c r="C6" s="1">
        <v>2</v>
      </c>
      <c r="D6" s="1">
        <v>400</v>
      </c>
      <c r="E6" s="1">
        <f t="shared" si="0"/>
        <v>24400</v>
      </c>
    </row>
    <row r="7" spans="1:5" x14ac:dyDescent="0.3">
      <c r="A7" s="1" t="s">
        <v>9</v>
      </c>
      <c r="B7" s="1">
        <v>3000</v>
      </c>
      <c r="C7" s="1">
        <v>6</v>
      </c>
      <c r="D7" s="1">
        <v>120</v>
      </c>
      <c r="E7" s="1">
        <f t="shared" si="0"/>
        <v>18120</v>
      </c>
    </row>
    <row r="8" spans="1:5" x14ac:dyDescent="0.3">
      <c r="A8" s="1" t="s">
        <v>10</v>
      </c>
      <c r="B8" s="1">
        <v>4500</v>
      </c>
      <c r="C8" s="1">
        <v>5</v>
      </c>
      <c r="D8" s="1">
        <v>180</v>
      </c>
      <c r="E8" s="1">
        <f t="shared" si="0"/>
        <v>22680</v>
      </c>
    </row>
    <row r="9" spans="1:5" x14ac:dyDescent="0.3">
      <c r="A9" s="1" t="s">
        <v>11</v>
      </c>
      <c r="B9" s="1">
        <v>5200</v>
      </c>
      <c r="C9" s="1">
        <v>4</v>
      </c>
      <c r="D9" s="1">
        <v>200</v>
      </c>
      <c r="E9" s="1">
        <f t="shared" si="0"/>
        <v>21000</v>
      </c>
    </row>
    <row r="10" spans="1:5" x14ac:dyDescent="0.3">
      <c r="A10" s="1" t="s">
        <v>12</v>
      </c>
      <c r="B10" s="1">
        <v>7000</v>
      </c>
      <c r="C10" s="1">
        <v>3</v>
      </c>
      <c r="D10" s="1">
        <v>450</v>
      </c>
      <c r="E10" s="1">
        <f t="shared" si="0"/>
        <v>21450</v>
      </c>
    </row>
    <row r="11" spans="1:5" x14ac:dyDescent="0.3">
      <c r="A11" s="1" t="s">
        <v>13</v>
      </c>
      <c r="B11" s="1">
        <v>9500</v>
      </c>
      <c r="C11" s="1">
        <v>2</v>
      </c>
      <c r="D11" s="1">
        <v>600</v>
      </c>
      <c r="E11" s="1">
        <f t="shared" si="0"/>
        <v>19600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E04AB-8C4A-4FC6-89BA-179E1E74FB16}">
  <dimension ref="A1:E11"/>
  <sheetViews>
    <sheetView zoomScale="140" workbookViewId="0">
      <selection activeCell="E2" sqref="E2"/>
    </sheetView>
  </sheetViews>
  <sheetFormatPr defaultRowHeight="14.4" x14ac:dyDescent="0.3"/>
  <cols>
    <col min="1" max="1" width="9.33203125" bestFit="1" customWidth="1"/>
    <col min="2" max="2" width="11.44140625" bestFit="1" customWidth="1"/>
    <col min="3" max="3" width="6.109375" bestFit="1" customWidth="1"/>
    <col min="4" max="4" width="6.33203125" bestFit="1" customWidth="1"/>
    <col min="5" max="5" width="11.6640625" bestFit="1" customWidth="1"/>
  </cols>
  <sheetData>
    <row r="1" spans="1:5" x14ac:dyDescent="0.3">
      <c r="A1" s="2" t="s">
        <v>40</v>
      </c>
      <c r="B1" s="2" t="s">
        <v>42</v>
      </c>
      <c r="C1" s="2" t="s">
        <v>43</v>
      </c>
      <c r="D1" s="2" t="s">
        <v>44</v>
      </c>
      <c r="E1" s="2" t="s">
        <v>45</v>
      </c>
    </row>
    <row r="2" spans="1:5" x14ac:dyDescent="0.3">
      <c r="A2" s="1" t="s">
        <v>22</v>
      </c>
      <c r="B2" s="1">
        <v>35000</v>
      </c>
      <c r="C2" s="1">
        <v>7000</v>
      </c>
      <c r="D2" s="1">
        <v>2500</v>
      </c>
      <c r="E2" s="1">
        <f t="shared" ref="E2:E7" si="0">B2+C2+D2</f>
        <v>44500</v>
      </c>
    </row>
    <row r="3" spans="1:5" x14ac:dyDescent="0.3">
      <c r="A3" s="1" t="s">
        <v>23</v>
      </c>
      <c r="B3" s="1">
        <v>42000</v>
      </c>
      <c r="C3" s="1">
        <v>8400</v>
      </c>
      <c r="D3" s="1">
        <v>3000</v>
      </c>
      <c r="E3" s="1">
        <f t="shared" si="0"/>
        <v>53400</v>
      </c>
    </row>
    <row r="4" spans="1:5" x14ac:dyDescent="0.3">
      <c r="A4" s="1" t="s">
        <v>24</v>
      </c>
      <c r="B4" s="1">
        <v>50000</v>
      </c>
      <c r="C4" s="1">
        <v>10000</v>
      </c>
      <c r="D4" s="1">
        <v>4500</v>
      </c>
      <c r="E4" s="1">
        <f t="shared" si="0"/>
        <v>64500</v>
      </c>
    </row>
    <row r="5" spans="1:5" x14ac:dyDescent="0.3">
      <c r="A5" s="1" t="s">
        <v>25</v>
      </c>
      <c r="B5" s="1">
        <v>38000</v>
      </c>
      <c r="C5" s="1">
        <v>7600</v>
      </c>
      <c r="D5" s="1">
        <v>2800</v>
      </c>
      <c r="E5" s="1">
        <f t="shared" si="0"/>
        <v>48400</v>
      </c>
    </row>
    <row r="6" spans="1:5" x14ac:dyDescent="0.3">
      <c r="A6" s="1" t="s">
        <v>26</v>
      </c>
      <c r="B6" s="1">
        <v>45000</v>
      </c>
      <c r="C6" s="1">
        <v>9000</v>
      </c>
      <c r="D6" s="1">
        <v>3200</v>
      </c>
      <c r="E6" s="1">
        <f t="shared" si="0"/>
        <v>57200</v>
      </c>
    </row>
    <row r="7" spans="1:5" x14ac:dyDescent="0.3">
      <c r="A7" s="1" t="s">
        <v>27</v>
      </c>
      <c r="B7" s="1">
        <v>47000</v>
      </c>
      <c r="C7" s="1">
        <v>9400</v>
      </c>
      <c r="D7" s="1">
        <v>3500</v>
      </c>
      <c r="E7" s="1">
        <f t="shared" si="0"/>
        <v>59900</v>
      </c>
    </row>
    <row r="8" spans="1:5" x14ac:dyDescent="0.3">
      <c r="A8" s="1" t="s">
        <v>41</v>
      </c>
      <c r="B8" s="1">
        <v>39000</v>
      </c>
      <c r="C8" s="1">
        <v>7800</v>
      </c>
      <c r="D8" s="1">
        <v>2600</v>
      </c>
      <c r="E8" s="1">
        <f>B8+C8+C8</f>
        <v>54600</v>
      </c>
    </row>
    <row r="9" spans="1:5" x14ac:dyDescent="0.3">
      <c r="A9" s="1" t="s">
        <v>29</v>
      </c>
      <c r="B9" s="1">
        <v>52000</v>
      </c>
      <c r="C9" s="1">
        <v>10400</v>
      </c>
      <c r="D9" s="1">
        <v>5000</v>
      </c>
      <c r="E9" s="1">
        <f>B9+C9+D9</f>
        <v>67400</v>
      </c>
    </row>
    <row r="10" spans="1:5" x14ac:dyDescent="0.3">
      <c r="A10" s="1" t="s">
        <v>30</v>
      </c>
      <c r="B10" s="1">
        <v>41000</v>
      </c>
      <c r="C10" s="1">
        <v>8200</v>
      </c>
      <c r="D10" s="1">
        <v>2900</v>
      </c>
      <c r="E10" s="1">
        <f>B10+C10+D10</f>
        <v>52100</v>
      </c>
    </row>
    <row r="11" spans="1:5" x14ac:dyDescent="0.3">
      <c r="A11" s="1" t="s">
        <v>31</v>
      </c>
      <c r="B11" s="1">
        <v>48000</v>
      </c>
      <c r="C11" s="1">
        <v>9600</v>
      </c>
      <c r="D11" s="1">
        <v>3800</v>
      </c>
      <c r="E11" s="1">
        <f>B11+C11+D11</f>
        <v>61400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96630-945E-4E13-AFE5-0E8374C6948C}">
  <dimension ref="A1:D11"/>
  <sheetViews>
    <sheetView zoomScale="137" workbookViewId="0">
      <selection activeCell="D2" sqref="D2"/>
    </sheetView>
  </sheetViews>
  <sheetFormatPr defaultRowHeight="14.4" x14ac:dyDescent="0.3"/>
  <cols>
    <col min="1" max="1" width="8.5546875" bestFit="1" customWidth="1"/>
    <col min="2" max="2" width="6.21875" bestFit="1" customWidth="1"/>
    <col min="3" max="3" width="13.77734375" bestFit="1" customWidth="1"/>
    <col min="4" max="4" width="9.77734375" bestFit="1" customWidth="1"/>
  </cols>
  <sheetData>
    <row r="1" spans="1:4" x14ac:dyDescent="0.3">
      <c r="A1" s="2" t="s">
        <v>14</v>
      </c>
      <c r="B1" s="2" t="s">
        <v>18</v>
      </c>
      <c r="C1" s="2" t="s">
        <v>46</v>
      </c>
      <c r="D1" s="2" t="s">
        <v>47</v>
      </c>
    </row>
    <row r="2" spans="1:4" x14ac:dyDescent="0.3">
      <c r="A2" s="1" t="s">
        <v>4</v>
      </c>
      <c r="B2" s="1">
        <v>60000</v>
      </c>
      <c r="C2" s="1">
        <f t="shared" ref="C2:C11" si="0">B2*10%</f>
        <v>6000</v>
      </c>
      <c r="D2" s="1">
        <f t="shared" ref="D2:D11" si="1">B2+C2</f>
        <v>66000</v>
      </c>
    </row>
    <row r="3" spans="1:4" x14ac:dyDescent="0.3">
      <c r="A3" s="1" t="s">
        <v>5</v>
      </c>
      <c r="B3" s="1">
        <v>900</v>
      </c>
      <c r="C3" s="1">
        <f t="shared" si="0"/>
        <v>90</v>
      </c>
      <c r="D3" s="1">
        <f t="shared" si="1"/>
        <v>990</v>
      </c>
    </row>
    <row r="4" spans="1:4" x14ac:dyDescent="0.3">
      <c r="A4" s="1" t="s">
        <v>6</v>
      </c>
      <c r="B4" s="1">
        <v>1800</v>
      </c>
      <c r="C4" s="1">
        <f t="shared" si="0"/>
        <v>180</v>
      </c>
      <c r="D4" s="1">
        <f t="shared" si="1"/>
        <v>1980</v>
      </c>
    </row>
    <row r="5" spans="1:4" x14ac:dyDescent="0.3">
      <c r="A5" s="1" t="s">
        <v>7</v>
      </c>
      <c r="B5" s="1">
        <v>22000</v>
      </c>
      <c r="C5" s="1">
        <f t="shared" si="0"/>
        <v>2200</v>
      </c>
      <c r="D5" s="1">
        <f t="shared" si="1"/>
        <v>24200</v>
      </c>
    </row>
    <row r="6" spans="1:4" x14ac:dyDescent="0.3">
      <c r="A6" s="1" t="s">
        <v>8</v>
      </c>
      <c r="B6" s="1">
        <v>15000</v>
      </c>
      <c r="C6" s="1">
        <f t="shared" si="0"/>
        <v>1500</v>
      </c>
      <c r="D6" s="1">
        <f t="shared" si="1"/>
        <v>16500</v>
      </c>
    </row>
    <row r="7" spans="1:4" x14ac:dyDescent="0.3">
      <c r="A7" s="1" t="s">
        <v>9</v>
      </c>
      <c r="B7" s="1">
        <v>3500</v>
      </c>
      <c r="C7" s="1">
        <f t="shared" si="0"/>
        <v>350</v>
      </c>
      <c r="D7" s="1">
        <f t="shared" si="1"/>
        <v>3850</v>
      </c>
    </row>
    <row r="8" spans="1:4" x14ac:dyDescent="0.3">
      <c r="A8" s="1" t="s">
        <v>10</v>
      </c>
      <c r="B8" s="1">
        <v>5000</v>
      </c>
      <c r="C8" s="1">
        <f t="shared" si="0"/>
        <v>500</v>
      </c>
      <c r="D8" s="1">
        <f t="shared" si="1"/>
        <v>5500</v>
      </c>
    </row>
    <row r="9" spans="1:4" x14ac:dyDescent="0.3">
      <c r="A9" s="1" t="s">
        <v>11</v>
      </c>
      <c r="B9" s="1">
        <v>6200</v>
      </c>
      <c r="C9" s="1">
        <f t="shared" si="0"/>
        <v>620</v>
      </c>
      <c r="D9" s="1">
        <f t="shared" si="1"/>
        <v>6820</v>
      </c>
    </row>
    <row r="10" spans="1:4" x14ac:dyDescent="0.3">
      <c r="A10" s="1" t="s">
        <v>12</v>
      </c>
      <c r="B10" s="1">
        <v>8000</v>
      </c>
      <c r="C10" s="1">
        <f t="shared" si="0"/>
        <v>800</v>
      </c>
      <c r="D10" s="1">
        <f t="shared" si="1"/>
        <v>8800</v>
      </c>
    </row>
    <row r="11" spans="1:4" x14ac:dyDescent="0.3">
      <c r="A11" s="1" t="s">
        <v>13</v>
      </c>
      <c r="B11" s="1">
        <v>10000</v>
      </c>
      <c r="C11" s="1">
        <f t="shared" si="0"/>
        <v>1000</v>
      </c>
      <c r="D11" s="1">
        <f t="shared" si="1"/>
        <v>11000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5D690-CB5C-48D9-AD39-C434EE203C19}">
  <dimension ref="A1:F11"/>
  <sheetViews>
    <sheetView zoomScale="135" workbookViewId="0">
      <selection activeCell="F2" sqref="F2"/>
    </sheetView>
  </sheetViews>
  <sheetFormatPr defaultRowHeight="14.4" x14ac:dyDescent="0.3"/>
  <cols>
    <col min="1" max="1" width="6.88671875" bestFit="1" customWidth="1"/>
    <col min="2" max="2" width="7.33203125" bestFit="1" customWidth="1"/>
    <col min="3" max="3" width="8.109375" bestFit="1" customWidth="1"/>
    <col min="4" max="4" width="7.33203125" bestFit="1" customWidth="1"/>
    <col min="5" max="5" width="8.109375" bestFit="1" customWidth="1"/>
    <col min="6" max="6" width="11.6640625" bestFit="1" customWidth="1"/>
  </cols>
  <sheetData>
    <row r="1" spans="1:6" x14ac:dyDescent="0.3">
      <c r="A1" s="2" t="s">
        <v>48</v>
      </c>
      <c r="B1" s="2" t="s">
        <v>59</v>
      </c>
      <c r="C1" s="2" t="s">
        <v>60</v>
      </c>
      <c r="D1" s="2" t="s">
        <v>61</v>
      </c>
      <c r="E1" s="2" t="s">
        <v>62</v>
      </c>
      <c r="F1" s="2" t="s">
        <v>63</v>
      </c>
    </row>
    <row r="2" spans="1:6" x14ac:dyDescent="0.3">
      <c r="A2" s="1" t="s">
        <v>49</v>
      </c>
      <c r="B2" s="1">
        <v>50000</v>
      </c>
      <c r="C2" s="1">
        <v>32000</v>
      </c>
      <c r="D2" s="1">
        <f t="shared" ref="D2:D11" si="0">B2+C2</f>
        <v>82000</v>
      </c>
      <c r="E2" s="1">
        <f>82000*5%</f>
        <v>4100</v>
      </c>
      <c r="F2" s="1">
        <f t="shared" ref="F2:F10" si="1">(B2*C2)+D2</f>
        <v>1600082000</v>
      </c>
    </row>
    <row r="3" spans="1:6" x14ac:dyDescent="0.3">
      <c r="A3" s="1" t="s">
        <v>50</v>
      </c>
      <c r="B3" s="1">
        <v>62000</v>
      </c>
      <c r="C3" s="1">
        <v>41000</v>
      </c>
      <c r="D3" s="1">
        <f t="shared" si="0"/>
        <v>103000</v>
      </c>
      <c r="E3" s="1">
        <f>103000*5%</f>
        <v>5150</v>
      </c>
      <c r="F3" s="1">
        <f t="shared" si="1"/>
        <v>2542103000</v>
      </c>
    </row>
    <row r="4" spans="1:6" x14ac:dyDescent="0.3">
      <c r="A4" s="1" t="s">
        <v>51</v>
      </c>
      <c r="B4" s="1">
        <v>70000</v>
      </c>
      <c r="C4" s="1">
        <v>46000</v>
      </c>
      <c r="D4" s="1">
        <f t="shared" si="0"/>
        <v>116000</v>
      </c>
      <c r="E4" s="1">
        <f>116000*5%</f>
        <v>5800</v>
      </c>
      <c r="F4" s="1">
        <f t="shared" si="1"/>
        <v>3220116000</v>
      </c>
    </row>
    <row r="5" spans="1:6" x14ac:dyDescent="0.3">
      <c r="A5" s="1" t="s">
        <v>52</v>
      </c>
      <c r="B5" s="1">
        <v>55000</v>
      </c>
      <c r="C5" s="1">
        <v>35000</v>
      </c>
      <c r="D5" s="1">
        <f t="shared" si="0"/>
        <v>90000</v>
      </c>
      <c r="E5" s="1">
        <f>90000*5%</f>
        <v>4500</v>
      </c>
      <c r="F5" s="1">
        <f t="shared" si="1"/>
        <v>1925090000</v>
      </c>
    </row>
    <row r="6" spans="1:6" x14ac:dyDescent="0.3">
      <c r="A6" s="1" t="s">
        <v>53</v>
      </c>
      <c r="B6" s="1">
        <v>80000</v>
      </c>
      <c r="C6" s="1">
        <v>52000</v>
      </c>
      <c r="D6" s="1">
        <f t="shared" si="0"/>
        <v>132000</v>
      </c>
      <c r="E6" s="1">
        <f>132000*5%</f>
        <v>6600</v>
      </c>
      <c r="F6" s="1">
        <f t="shared" si="1"/>
        <v>4160132000</v>
      </c>
    </row>
    <row r="7" spans="1:6" x14ac:dyDescent="0.3">
      <c r="A7" s="1" t="s">
        <v>54</v>
      </c>
      <c r="B7" s="1">
        <v>68000</v>
      </c>
      <c r="C7" s="1">
        <v>43000</v>
      </c>
      <c r="D7" s="1">
        <f t="shared" si="0"/>
        <v>111000</v>
      </c>
      <c r="E7" s="1">
        <f>111000*5%</f>
        <v>5550</v>
      </c>
      <c r="F7" s="1">
        <f t="shared" si="1"/>
        <v>2924111000</v>
      </c>
    </row>
    <row r="8" spans="1:6" x14ac:dyDescent="0.3">
      <c r="A8" s="1" t="s">
        <v>55</v>
      </c>
      <c r="B8" s="1">
        <v>72000</v>
      </c>
      <c r="C8" s="1">
        <v>48000</v>
      </c>
      <c r="D8" s="1">
        <f t="shared" si="0"/>
        <v>120000</v>
      </c>
      <c r="E8" s="1">
        <f>120000*5%</f>
        <v>6000</v>
      </c>
      <c r="F8" s="1">
        <f t="shared" si="1"/>
        <v>3456120000</v>
      </c>
    </row>
    <row r="9" spans="1:6" x14ac:dyDescent="0.3">
      <c r="A9" s="1" t="s">
        <v>56</v>
      </c>
      <c r="B9" s="1">
        <v>59000</v>
      </c>
      <c r="C9" s="1">
        <v>36000</v>
      </c>
      <c r="D9" s="1">
        <f t="shared" si="0"/>
        <v>95000</v>
      </c>
      <c r="E9" s="1">
        <f>95000*5%</f>
        <v>4750</v>
      </c>
      <c r="F9" s="1">
        <f t="shared" si="1"/>
        <v>2124095000</v>
      </c>
    </row>
    <row r="10" spans="1:6" x14ac:dyDescent="0.3">
      <c r="A10" s="1" t="s">
        <v>57</v>
      </c>
      <c r="B10" s="1">
        <v>64000</v>
      </c>
      <c r="C10" s="1">
        <v>39000</v>
      </c>
      <c r="D10" s="1">
        <f t="shared" si="0"/>
        <v>103000</v>
      </c>
      <c r="E10" s="1">
        <f>103000*5%</f>
        <v>5150</v>
      </c>
      <c r="F10" s="1">
        <f t="shared" si="1"/>
        <v>2496103000</v>
      </c>
    </row>
    <row r="11" spans="1:6" x14ac:dyDescent="0.3">
      <c r="A11" s="1" t="s">
        <v>58</v>
      </c>
      <c r="B11" s="1">
        <v>85000</v>
      </c>
      <c r="C11" s="1">
        <v>57000</v>
      </c>
      <c r="D11" s="1">
        <f t="shared" si="0"/>
        <v>142000</v>
      </c>
      <c r="E11" s="1">
        <f>142000*5%</f>
        <v>7100</v>
      </c>
      <c r="F11" s="1">
        <f>(B11*C11)+D11</f>
        <v>4845142000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690AA-DF5A-4D82-B67B-E82FAE7828AA}">
  <dimension ref="A1:B12"/>
  <sheetViews>
    <sheetView workbookViewId="0">
      <selection activeCell="B12" sqref="B12"/>
    </sheetView>
  </sheetViews>
  <sheetFormatPr defaultRowHeight="14.4" x14ac:dyDescent="0.3"/>
  <cols>
    <col min="1" max="1" width="10.6640625" bestFit="1" customWidth="1"/>
    <col min="2" max="2" width="7.5546875" bestFit="1" customWidth="1"/>
  </cols>
  <sheetData>
    <row r="1" spans="1:2" x14ac:dyDescent="0.3">
      <c r="A1" s="2" t="s">
        <v>40</v>
      </c>
      <c r="B1" s="2" t="s">
        <v>65</v>
      </c>
    </row>
    <row r="2" spans="1:2" x14ac:dyDescent="0.3">
      <c r="A2" s="1" t="s">
        <v>22</v>
      </c>
      <c r="B2" s="1">
        <v>35000</v>
      </c>
    </row>
    <row r="3" spans="1:2" x14ac:dyDescent="0.3">
      <c r="A3" s="1" t="s">
        <v>23</v>
      </c>
      <c r="B3" s="1">
        <v>42000</v>
      </c>
    </row>
    <row r="4" spans="1:2" x14ac:dyDescent="0.3">
      <c r="A4" s="1" t="s">
        <v>24</v>
      </c>
      <c r="B4" s="1">
        <v>50000</v>
      </c>
    </row>
    <row r="5" spans="1:2" x14ac:dyDescent="0.3">
      <c r="A5" s="1" t="s">
        <v>25</v>
      </c>
      <c r="B5" s="1">
        <v>38000</v>
      </c>
    </row>
    <row r="6" spans="1:2" x14ac:dyDescent="0.3">
      <c r="A6" s="1" t="s">
        <v>26</v>
      </c>
      <c r="B6" s="1">
        <v>45000</v>
      </c>
    </row>
    <row r="7" spans="1:2" x14ac:dyDescent="0.3">
      <c r="A7" s="1" t="s">
        <v>27</v>
      </c>
      <c r="B7" s="1">
        <v>47000</v>
      </c>
    </row>
    <row r="8" spans="1:2" x14ac:dyDescent="0.3">
      <c r="A8" s="1" t="s">
        <v>41</v>
      </c>
      <c r="B8" s="1">
        <v>39000</v>
      </c>
    </row>
    <row r="9" spans="1:2" x14ac:dyDescent="0.3">
      <c r="A9" s="1" t="s">
        <v>29</v>
      </c>
      <c r="B9" s="1">
        <v>52000</v>
      </c>
    </row>
    <row r="10" spans="1:2" x14ac:dyDescent="0.3">
      <c r="A10" s="1" t="s">
        <v>30</v>
      </c>
      <c r="B10" s="1">
        <v>41000</v>
      </c>
    </row>
    <row r="11" spans="1:2" x14ac:dyDescent="0.3">
      <c r="A11" s="1" t="s">
        <v>31</v>
      </c>
      <c r="B11" s="1">
        <v>48000</v>
      </c>
    </row>
    <row r="12" spans="1:2" x14ac:dyDescent="0.3">
      <c r="A12" s="2" t="s">
        <v>64</v>
      </c>
      <c r="B12" s="2">
        <f>SUM(B2:B11)</f>
        <v>437000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4C9E0-A7B1-402C-8D30-EFD5C62EE36E}">
  <dimension ref="A1:B12"/>
  <sheetViews>
    <sheetView workbookViewId="0">
      <selection activeCell="B12" sqref="B12"/>
    </sheetView>
  </sheetViews>
  <sheetFormatPr defaultRowHeight="14.4" x14ac:dyDescent="0.3"/>
  <cols>
    <col min="1" max="1" width="7.5546875" bestFit="1" customWidth="1"/>
    <col min="2" max="2" width="6" bestFit="1" customWidth="1"/>
  </cols>
  <sheetData>
    <row r="1" spans="1:2" x14ac:dyDescent="0.3">
      <c r="A1" s="2" t="s">
        <v>21</v>
      </c>
      <c r="B1" s="2" t="s">
        <v>66</v>
      </c>
    </row>
    <row r="2" spans="1:2" x14ac:dyDescent="0.3">
      <c r="A2" s="1" t="s">
        <v>22</v>
      </c>
      <c r="B2" s="1">
        <v>85</v>
      </c>
    </row>
    <row r="3" spans="1:2" x14ac:dyDescent="0.3">
      <c r="A3" s="1" t="s">
        <v>23</v>
      </c>
      <c r="B3" s="1">
        <v>78</v>
      </c>
    </row>
    <row r="4" spans="1:2" x14ac:dyDescent="0.3">
      <c r="A4" s="1" t="s">
        <v>24</v>
      </c>
      <c r="B4" s="1">
        <v>92</v>
      </c>
    </row>
    <row r="5" spans="1:2" x14ac:dyDescent="0.3">
      <c r="A5" s="1" t="s">
        <v>25</v>
      </c>
      <c r="B5" s="1">
        <v>88</v>
      </c>
    </row>
    <row r="6" spans="1:2" x14ac:dyDescent="0.3">
      <c r="A6" s="1" t="s">
        <v>26</v>
      </c>
      <c r="B6" s="1">
        <v>75</v>
      </c>
    </row>
    <row r="7" spans="1:2" x14ac:dyDescent="0.3">
      <c r="A7" s="1" t="s">
        <v>27</v>
      </c>
      <c r="B7" s="1">
        <v>81</v>
      </c>
    </row>
    <row r="8" spans="1:2" x14ac:dyDescent="0.3">
      <c r="A8" s="1" t="s">
        <v>28</v>
      </c>
      <c r="B8" s="1">
        <v>69</v>
      </c>
    </row>
    <row r="9" spans="1:2" x14ac:dyDescent="0.3">
      <c r="A9" s="1" t="s">
        <v>29</v>
      </c>
      <c r="B9" s="1">
        <v>95</v>
      </c>
    </row>
    <row r="10" spans="1:2" x14ac:dyDescent="0.3">
      <c r="A10" s="1" t="s">
        <v>30</v>
      </c>
      <c r="B10" s="1">
        <v>84</v>
      </c>
    </row>
    <row r="11" spans="1:2" x14ac:dyDescent="0.3">
      <c r="A11" s="1" t="s">
        <v>31</v>
      </c>
      <c r="B11" s="1">
        <v>90</v>
      </c>
    </row>
    <row r="12" spans="1:2" x14ac:dyDescent="0.3">
      <c r="A12" s="2" t="s">
        <v>34</v>
      </c>
      <c r="B12" s="2">
        <f>AVERAGE(B2:B11)</f>
        <v>83.7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5C826-703A-410D-92FE-08424B1F601D}">
  <dimension ref="A1:B12"/>
  <sheetViews>
    <sheetView workbookViewId="0">
      <selection activeCell="B12" sqref="B12"/>
    </sheetView>
  </sheetViews>
  <sheetFormatPr defaultRowHeight="14.4" x14ac:dyDescent="0.3"/>
  <cols>
    <col min="1" max="1" width="11.6640625" bestFit="1" customWidth="1"/>
    <col min="2" max="2" width="6" bestFit="1" customWidth="1"/>
  </cols>
  <sheetData>
    <row r="1" spans="1:2" x14ac:dyDescent="0.3">
      <c r="A1" s="2" t="s">
        <v>67</v>
      </c>
      <c r="B1" s="2" t="s">
        <v>69</v>
      </c>
    </row>
    <row r="2" spans="1:2" x14ac:dyDescent="0.3">
      <c r="A2" s="1" t="s">
        <v>22</v>
      </c>
      <c r="B2" s="1">
        <v>55000</v>
      </c>
    </row>
    <row r="3" spans="1:2" x14ac:dyDescent="0.3">
      <c r="A3" s="1" t="s">
        <v>23</v>
      </c>
      <c r="B3" s="1">
        <v>72000</v>
      </c>
    </row>
    <row r="4" spans="1:2" x14ac:dyDescent="0.3">
      <c r="A4" s="1" t="s">
        <v>24</v>
      </c>
      <c r="B4" s="1">
        <v>68000</v>
      </c>
    </row>
    <row r="5" spans="1:2" x14ac:dyDescent="0.3">
      <c r="A5" s="1" t="s">
        <v>25</v>
      </c>
      <c r="B5" s="1">
        <v>45000</v>
      </c>
    </row>
    <row r="6" spans="1:2" x14ac:dyDescent="0.3">
      <c r="A6" s="1" t="s">
        <v>26</v>
      </c>
      <c r="B6" s="1">
        <v>81000</v>
      </c>
    </row>
    <row r="7" spans="1:2" x14ac:dyDescent="0.3">
      <c r="A7" s="1" t="s">
        <v>27</v>
      </c>
      <c r="B7" s="1">
        <v>59000</v>
      </c>
    </row>
    <row r="8" spans="1:2" x14ac:dyDescent="0.3">
      <c r="A8" s="1" t="s">
        <v>28</v>
      </c>
      <c r="B8" s="1">
        <v>47000</v>
      </c>
    </row>
    <row r="9" spans="1:2" x14ac:dyDescent="0.3">
      <c r="A9" s="1" t="s">
        <v>29</v>
      </c>
      <c r="B9" s="1">
        <v>92000</v>
      </c>
    </row>
    <row r="10" spans="1:2" x14ac:dyDescent="0.3">
      <c r="A10" s="1" t="s">
        <v>30</v>
      </c>
      <c r="B10" s="1">
        <v>63000</v>
      </c>
    </row>
    <row r="11" spans="1:2" x14ac:dyDescent="0.3">
      <c r="A11" s="1" t="s">
        <v>31</v>
      </c>
      <c r="B11" s="1">
        <v>76000</v>
      </c>
    </row>
    <row r="12" spans="1:2" x14ac:dyDescent="0.3">
      <c r="A12" s="2" t="s">
        <v>68</v>
      </c>
      <c r="B12" s="2">
        <f>MIN(B2:B11)</f>
        <v>45000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33A7F-7C8F-4708-B059-5F05FA803E12}">
  <dimension ref="A1:B12"/>
  <sheetViews>
    <sheetView workbookViewId="0">
      <selection activeCell="B12" sqref="B12"/>
    </sheetView>
  </sheetViews>
  <sheetFormatPr defaultRowHeight="14.4" x14ac:dyDescent="0.3"/>
  <cols>
    <col min="1" max="1" width="12.21875" bestFit="1" customWidth="1"/>
    <col min="2" max="2" width="6" bestFit="1" customWidth="1"/>
  </cols>
  <sheetData>
    <row r="1" spans="1:2" x14ac:dyDescent="0.3">
      <c r="A1" s="2" t="s">
        <v>67</v>
      </c>
      <c r="B1" s="2" t="s">
        <v>69</v>
      </c>
    </row>
    <row r="2" spans="1:2" x14ac:dyDescent="0.3">
      <c r="A2" s="1" t="s">
        <v>22</v>
      </c>
      <c r="B2" s="1">
        <v>55000</v>
      </c>
    </row>
    <row r="3" spans="1:2" x14ac:dyDescent="0.3">
      <c r="A3" s="1" t="s">
        <v>23</v>
      </c>
      <c r="B3" s="1">
        <v>72000</v>
      </c>
    </row>
    <row r="4" spans="1:2" x14ac:dyDescent="0.3">
      <c r="A4" s="1" t="s">
        <v>24</v>
      </c>
      <c r="B4" s="1">
        <v>68000</v>
      </c>
    </row>
    <row r="5" spans="1:2" x14ac:dyDescent="0.3">
      <c r="A5" s="1" t="s">
        <v>25</v>
      </c>
      <c r="B5" s="1">
        <v>45000</v>
      </c>
    </row>
    <row r="6" spans="1:2" x14ac:dyDescent="0.3">
      <c r="A6" s="1" t="s">
        <v>26</v>
      </c>
      <c r="B6" s="1">
        <v>81000</v>
      </c>
    </row>
    <row r="7" spans="1:2" x14ac:dyDescent="0.3">
      <c r="A7" s="1" t="s">
        <v>27</v>
      </c>
      <c r="B7" s="1">
        <v>59000</v>
      </c>
    </row>
    <row r="8" spans="1:2" x14ac:dyDescent="0.3">
      <c r="A8" s="1" t="s">
        <v>41</v>
      </c>
      <c r="B8" s="1">
        <v>47000</v>
      </c>
    </row>
    <row r="9" spans="1:2" x14ac:dyDescent="0.3">
      <c r="A9" s="1" t="s">
        <v>29</v>
      </c>
      <c r="B9" s="1">
        <v>92000</v>
      </c>
    </row>
    <row r="10" spans="1:2" x14ac:dyDescent="0.3">
      <c r="A10" s="1" t="s">
        <v>30</v>
      </c>
      <c r="B10" s="1">
        <v>63000</v>
      </c>
    </row>
    <row r="11" spans="1:2" x14ac:dyDescent="0.3">
      <c r="A11" s="1" t="s">
        <v>31</v>
      </c>
      <c r="B11" s="1">
        <v>76000</v>
      </c>
    </row>
    <row r="12" spans="1:2" x14ac:dyDescent="0.3">
      <c r="A12" s="2" t="s">
        <v>70</v>
      </c>
      <c r="B12" s="2">
        <f>MAX(B2:B11)</f>
        <v>92000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DB92F-FA77-4908-870A-2D4F3AC8E25B}">
  <dimension ref="A1:F29"/>
  <sheetViews>
    <sheetView tabSelected="1" workbookViewId="0">
      <selection activeCell="N16" sqref="N16"/>
    </sheetView>
  </sheetViews>
  <sheetFormatPr defaultRowHeight="14.4" x14ac:dyDescent="0.3"/>
  <cols>
    <col min="1" max="1" width="8" bestFit="1" customWidth="1"/>
    <col min="6" max="6" width="1.33203125" bestFit="1" customWidth="1"/>
  </cols>
  <sheetData>
    <row r="1" spans="1:1" x14ac:dyDescent="0.3">
      <c r="A1" s="2" t="s">
        <v>71</v>
      </c>
    </row>
    <row r="2" spans="1:1" x14ac:dyDescent="0.3">
      <c r="A2" s="1">
        <v>100</v>
      </c>
    </row>
    <row r="3" spans="1:1" x14ac:dyDescent="0.3">
      <c r="A3" s="1">
        <v>250</v>
      </c>
    </row>
    <row r="4" spans="1:1" x14ac:dyDescent="0.3">
      <c r="A4" s="1" t="s">
        <v>72</v>
      </c>
    </row>
    <row r="5" spans="1:1" x14ac:dyDescent="0.3">
      <c r="A5" s="1">
        <v>450</v>
      </c>
    </row>
    <row r="6" spans="1:1" x14ac:dyDescent="0.3">
      <c r="A6" s="1" t="s">
        <v>73</v>
      </c>
    </row>
    <row r="7" spans="1:1" x14ac:dyDescent="0.3">
      <c r="A7" s="1">
        <v>600</v>
      </c>
    </row>
    <row r="8" spans="1:1" x14ac:dyDescent="0.3">
      <c r="A8" s="1" t="s">
        <v>74</v>
      </c>
    </row>
    <row r="9" spans="1:1" x14ac:dyDescent="0.3">
      <c r="A9" s="1">
        <v>800</v>
      </c>
    </row>
    <row r="10" spans="1:1" x14ac:dyDescent="0.3">
      <c r="A10" s="1" t="s">
        <v>75</v>
      </c>
    </row>
    <row r="11" spans="1:1" x14ac:dyDescent="0.3">
      <c r="A11" s="1">
        <v>950</v>
      </c>
    </row>
    <row r="12" spans="1:1" x14ac:dyDescent="0.3">
      <c r="A12" s="2">
        <f>COUNT(A2:A11)</f>
        <v>6</v>
      </c>
    </row>
    <row r="29" spans="6:6" x14ac:dyDescent="0.3">
      <c r="F29" t="s">
        <v>76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387EB-DBF3-4AE1-A02D-8181ABCF2883}">
  <dimension ref="A1:A12"/>
  <sheetViews>
    <sheetView workbookViewId="0">
      <selection activeCell="A12" sqref="A12"/>
    </sheetView>
  </sheetViews>
  <sheetFormatPr defaultRowHeight="14.4" x14ac:dyDescent="0.3"/>
  <cols>
    <col min="1" max="1" width="8" bestFit="1" customWidth="1"/>
  </cols>
  <sheetData>
    <row r="1" spans="1:1" x14ac:dyDescent="0.3">
      <c r="A1" s="2" t="s">
        <v>71</v>
      </c>
    </row>
    <row r="2" spans="1:1" x14ac:dyDescent="0.3">
      <c r="A2" s="1" t="s">
        <v>22</v>
      </c>
    </row>
    <row r="3" spans="1:1" x14ac:dyDescent="0.3">
      <c r="A3" s="1" t="s">
        <v>24</v>
      </c>
    </row>
    <row r="4" spans="1:1" x14ac:dyDescent="0.3">
      <c r="A4" s="1">
        <v>250</v>
      </c>
    </row>
    <row r="5" spans="1:1" x14ac:dyDescent="0.3">
      <c r="A5" s="1" t="s">
        <v>72</v>
      </c>
    </row>
    <row r="6" spans="1:1" x14ac:dyDescent="0.3">
      <c r="A6" s="1" t="s">
        <v>74</v>
      </c>
    </row>
    <row r="7" spans="1:1" x14ac:dyDescent="0.3">
      <c r="A7" s="1" t="s">
        <v>75</v>
      </c>
    </row>
    <row r="8" spans="1:1" x14ac:dyDescent="0.3">
      <c r="A8" s="1" t="b">
        <v>1</v>
      </c>
    </row>
    <row r="9" spans="1:1" x14ac:dyDescent="0.3">
      <c r="A9" s="1">
        <v>450</v>
      </c>
    </row>
    <row r="10" spans="1:1" x14ac:dyDescent="0.3">
      <c r="A10" s="1" t="s">
        <v>73</v>
      </c>
    </row>
    <row r="11" spans="1:1" x14ac:dyDescent="0.3">
      <c r="A11" s="1">
        <v>900</v>
      </c>
    </row>
    <row r="12" spans="1:1" x14ac:dyDescent="0.3">
      <c r="A12" s="2">
        <f>COUNTA(A2:A11)</f>
        <v>10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8E076-F660-4834-999A-8DA4F184B5C7}">
  <dimension ref="A1:A15"/>
  <sheetViews>
    <sheetView workbookViewId="0">
      <selection activeCell="A15" sqref="A15"/>
    </sheetView>
  </sheetViews>
  <sheetFormatPr defaultRowHeight="14.4" x14ac:dyDescent="0.3"/>
  <cols>
    <col min="1" max="1" width="6.5546875" bestFit="1" customWidth="1"/>
  </cols>
  <sheetData>
    <row r="1" spans="1:1" x14ac:dyDescent="0.3">
      <c r="A1" s="2" t="s">
        <v>71</v>
      </c>
    </row>
    <row r="2" spans="1:1" x14ac:dyDescent="0.3">
      <c r="A2" s="1" t="s">
        <v>22</v>
      </c>
    </row>
    <row r="3" spans="1:1" x14ac:dyDescent="0.3">
      <c r="A3" s="1" t="s">
        <v>75</v>
      </c>
    </row>
    <row r="4" spans="1:1" x14ac:dyDescent="0.3">
      <c r="A4" s="1" t="s">
        <v>24</v>
      </c>
    </row>
    <row r="5" spans="1:1" x14ac:dyDescent="0.3">
      <c r="A5" s="1">
        <v>250</v>
      </c>
    </row>
    <row r="6" spans="1:1" x14ac:dyDescent="0.3">
      <c r="A6" s="1" t="s">
        <v>75</v>
      </c>
    </row>
    <row r="7" spans="1:1" x14ac:dyDescent="0.3">
      <c r="A7" s="1" t="s">
        <v>72</v>
      </c>
    </row>
    <row r="8" spans="1:1" x14ac:dyDescent="0.3">
      <c r="A8" s="1" t="s">
        <v>74</v>
      </c>
    </row>
    <row r="9" spans="1:1" x14ac:dyDescent="0.3">
      <c r="A9" s="1" t="s">
        <v>75</v>
      </c>
    </row>
    <row r="10" spans="1:1" x14ac:dyDescent="0.3">
      <c r="A10" s="1" t="s">
        <v>72</v>
      </c>
    </row>
    <row r="11" spans="1:1" x14ac:dyDescent="0.3">
      <c r="A11" s="1" t="s">
        <v>74</v>
      </c>
    </row>
    <row r="12" spans="1:1" x14ac:dyDescent="0.3">
      <c r="A12" s="1" t="s">
        <v>75</v>
      </c>
    </row>
    <row r="13" spans="1:1" x14ac:dyDescent="0.3">
      <c r="A13" s="1" t="b">
        <v>1</v>
      </c>
    </row>
    <row r="14" spans="1:1" x14ac:dyDescent="0.3">
      <c r="A14" s="1">
        <v>500</v>
      </c>
    </row>
    <row r="15" spans="1:1" x14ac:dyDescent="0.3">
      <c r="A15" s="2">
        <f>COUNTBLANK(A2:A11)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23E01-5ADD-456A-8793-8083CD29FA4E}">
  <dimension ref="A1:F16"/>
  <sheetViews>
    <sheetView workbookViewId="0">
      <selection activeCell="B16" sqref="B16"/>
    </sheetView>
  </sheetViews>
  <sheetFormatPr defaultRowHeight="14.4" x14ac:dyDescent="0.3"/>
  <cols>
    <col min="1" max="1" width="19.44140625" bestFit="1" customWidth="1"/>
    <col min="2" max="2" width="7" bestFit="1" customWidth="1"/>
    <col min="4" max="4" width="1.33203125" bestFit="1" customWidth="1"/>
    <col min="6" max="6" width="1.33203125" bestFit="1" customWidth="1"/>
  </cols>
  <sheetData>
    <row r="1" spans="1:6" x14ac:dyDescent="0.3">
      <c r="A1" s="2" t="s">
        <v>40</v>
      </c>
      <c r="B1" s="2" t="s">
        <v>77</v>
      </c>
    </row>
    <row r="2" spans="1:6" x14ac:dyDescent="0.3">
      <c r="A2" s="1" t="s">
        <v>22</v>
      </c>
      <c r="B2" s="1">
        <v>35000</v>
      </c>
      <c r="D2" t="s">
        <v>76</v>
      </c>
    </row>
    <row r="3" spans="1:6" x14ac:dyDescent="0.3">
      <c r="A3" s="1" t="s">
        <v>23</v>
      </c>
      <c r="B3" s="1">
        <v>42000</v>
      </c>
    </row>
    <row r="4" spans="1:6" x14ac:dyDescent="0.3">
      <c r="A4" s="1" t="s">
        <v>24</v>
      </c>
      <c r="B4" s="1">
        <v>50000</v>
      </c>
    </row>
    <row r="5" spans="1:6" x14ac:dyDescent="0.3">
      <c r="A5" s="1" t="s">
        <v>25</v>
      </c>
      <c r="B5" s="1">
        <v>38000</v>
      </c>
    </row>
    <row r="6" spans="1:6" x14ac:dyDescent="0.3">
      <c r="A6" s="1" t="s">
        <v>26</v>
      </c>
      <c r="B6" s="1">
        <v>45000</v>
      </c>
    </row>
    <row r="7" spans="1:6" x14ac:dyDescent="0.3">
      <c r="A7" s="1" t="s">
        <v>27</v>
      </c>
      <c r="B7" s="1">
        <v>47000</v>
      </c>
    </row>
    <row r="8" spans="1:6" x14ac:dyDescent="0.3">
      <c r="A8" s="1" t="s">
        <v>41</v>
      </c>
      <c r="B8" s="1">
        <v>39000</v>
      </c>
    </row>
    <row r="9" spans="1:6" x14ac:dyDescent="0.3">
      <c r="A9" s="1" t="s">
        <v>29</v>
      </c>
      <c r="B9" s="1">
        <v>52000</v>
      </c>
    </row>
    <row r="10" spans="1:6" x14ac:dyDescent="0.3">
      <c r="A10" s="1" t="s">
        <v>30</v>
      </c>
      <c r="B10" s="1">
        <v>41000</v>
      </c>
    </row>
    <row r="11" spans="1:6" x14ac:dyDescent="0.3">
      <c r="A11" s="1" t="s">
        <v>31</v>
      </c>
      <c r="B11" s="1">
        <v>48000</v>
      </c>
    </row>
    <row r="12" spans="1:6" x14ac:dyDescent="0.3">
      <c r="A12" s="2" t="s">
        <v>78</v>
      </c>
      <c r="B12" s="2">
        <f>SUM(B2:B11)</f>
        <v>437000</v>
      </c>
    </row>
    <row r="13" spans="1:6" x14ac:dyDescent="0.3">
      <c r="A13" s="2" t="s">
        <v>79</v>
      </c>
      <c r="B13" s="2">
        <f>AVERAGE(B2:B11)</f>
        <v>43700</v>
      </c>
    </row>
    <row r="14" spans="1:6" x14ac:dyDescent="0.3">
      <c r="A14" s="2" t="s">
        <v>80</v>
      </c>
      <c r="B14" s="2">
        <f>MAX(B2:B11)</f>
        <v>52000</v>
      </c>
      <c r="F14" t="s">
        <v>76</v>
      </c>
    </row>
    <row r="15" spans="1:6" x14ac:dyDescent="0.3">
      <c r="A15" s="2" t="s">
        <v>81</v>
      </c>
      <c r="B15" s="2">
        <f>MIN(B2:B11)</f>
        <v>35000</v>
      </c>
    </row>
    <row r="16" spans="1:6" x14ac:dyDescent="0.3">
      <c r="A16" s="2" t="s">
        <v>82</v>
      </c>
      <c r="B16" s="2">
        <f>COUNT(B2:B11)</f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ADD</vt:lpstr>
      <vt:lpstr>SUB</vt:lpstr>
      <vt:lpstr>MUL</vt:lpstr>
      <vt:lpstr>DIV</vt:lpstr>
      <vt:lpstr>Percentage(%)</vt:lpstr>
      <vt:lpstr>Power(^)</vt:lpstr>
      <vt:lpstr>Mixed Operators</vt:lpstr>
      <vt:lpstr>MIX 2</vt:lpstr>
      <vt:lpstr>MIX 3</vt:lpstr>
      <vt:lpstr>MIX 4</vt:lpstr>
      <vt:lpstr>SUM()</vt:lpstr>
      <vt:lpstr>AVERAGE()</vt:lpstr>
      <vt:lpstr>MIN()</vt:lpstr>
      <vt:lpstr>MAX()</vt:lpstr>
      <vt:lpstr>COUNT()</vt:lpstr>
      <vt:lpstr>COUNTA()</vt:lpstr>
      <vt:lpstr>COUNTBLANK()</vt:lpstr>
      <vt:lpstr>MiniChallenge(IndustryPractice)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Shreyash Bakare</dc:creator>
  <cp:lastModifiedBy>Shreyash Bakare</cp:lastModifiedBy>
  <dcterms:created xsi:type="dcterms:W3CDTF">2026-07-14T02:50:29Z</dcterms:created>
  <dcterms:modified xsi:type="dcterms:W3CDTF">2026-07-17T07:53:34Z</dcterms:modified>
</cp:coreProperties>
</file>